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GitHub\Personalverrechnung\"/>
    </mc:Choice>
  </mc:AlternateContent>
  <xr:revisionPtr revIDLastSave="0" documentId="8_{369B38A1-5605-442A-9492-8D1077783023}" xr6:coauthVersionLast="47" xr6:coauthVersionMax="47" xr10:uidLastSave="{00000000-0000-0000-0000-000000000000}"/>
  <bookViews>
    <workbookView xWindow="-108" yWindow="-108" windowWidth="23256" windowHeight="13176" xr2:uid="{3F042EA9-F43F-45CA-A3BA-83FFC8B8C754}"/>
  </bookViews>
  <sheets>
    <sheet name="Tabelle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8" i="3" l="1"/>
  <c r="D39" i="3"/>
  <c r="E43" i="3" s="1"/>
  <c r="S38" i="3"/>
  <c r="R36" i="3" s="1"/>
  <c r="R38" i="3"/>
  <c r="Q38" i="3"/>
  <c r="Q28" i="3"/>
  <c r="Q33" i="3" s="1" a="1"/>
  <c r="Q33" i="3" s="1"/>
  <c r="C4" i="3" s="1"/>
  <c r="Q25" i="3"/>
  <c r="J14" i="3" s="1"/>
  <c r="E16" i="3" s="1"/>
  <c r="F22" i="3"/>
  <c r="F20" i="3"/>
  <c r="D9" i="3"/>
  <c r="F18" i="3"/>
  <c r="O11" i="3"/>
  <c r="E14" i="3" s="1"/>
  <c r="M11" i="3"/>
  <c r="R10" i="3"/>
  <c r="D10" i="3"/>
  <c r="R9" i="3"/>
  <c r="R8" i="3"/>
  <c r="D8" i="3"/>
  <c r="R7" i="3"/>
  <c r="R6" i="3"/>
  <c r="D11" i="3" l="1"/>
  <c r="E41" i="3"/>
  <c r="E42" i="3"/>
  <c r="R39" i="3"/>
  <c r="Q39" i="3"/>
  <c r="Q42" i="3" s="1"/>
  <c r="E44" i="3"/>
  <c r="E40" i="3"/>
  <c r="E45" i="3" l="1"/>
  <c r="Q40" i="3"/>
  <c r="R40" i="3"/>
  <c r="D7" i="3" l="1"/>
  <c r="F3" i="3"/>
  <c r="Q44" i="3"/>
  <c r="D5" i="3" l="1"/>
  <c r="F4" i="3"/>
  <c r="D6" i="3" s="1"/>
  <c r="D12" i="3" s="1"/>
  <c r="Q4" i="3" s="1"/>
  <c r="Q14" i="3" l="1"/>
  <c r="R14" i="3" l="1" a="1"/>
  <c r="R14" i="3" s="1"/>
  <c r="E15" i="3" s="1"/>
  <c r="E13" i="3"/>
  <c r="E17" i="3" l="1"/>
  <c r="F17" i="3" s="1"/>
  <c r="F21" i="3" s="1"/>
  <c r="F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<sst xmlns="http://schemas.openxmlformats.org/spreadsheetml/2006/main" count="103" uniqueCount="84">
  <si>
    <t>-SV</t>
  </si>
  <si>
    <t>Bruttogehalt</t>
  </si>
  <si>
    <t>SV-DNA</t>
  </si>
  <si>
    <t>Lst</t>
  </si>
  <si>
    <t>SV</t>
  </si>
  <si>
    <t>-Freibetrag</t>
  </si>
  <si>
    <t>-Pendlerp.</t>
  </si>
  <si>
    <t>Lst-BMGL</t>
  </si>
  <si>
    <t>-Fabo</t>
  </si>
  <si>
    <t>Fabo &gt; 18</t>
  </si>
  <si>
    <t>Fabo &lt; 18</t>
  </si>
  <si>
    <t>Anzahl kinder &lt; 18</t>
  </si>
  <si>
    <t>Anzahl kinder &gt; 18</t>
  </si>
  <si>
    <t>Summe</t>
  </si>
  <si>
    <t>-AEAB</t>
  </si>
  <si>
    <t>-Pendereuro</t>
  </si>
  <si>
    <t>FABO</t>
  </si>
  <si>
    <t>Pendlereuro</t>
  </si>
  <si>
    <t>Jährlich</t>
  </si>
  <si>
    <t>Anzahl Kilometer</t>
  </si>
  <si>
    <t>Nettogehalt</t>
  </si>
  <si>
    <t>Gewerkschaftsbeitrag</t>
  </si>
  <si>
    <t>Betriebsratumlage</t>
  </si>
  <si>
    <t>E-Card-Gebühr</t>
  </si>
  <si>
    <t>Akontozahlung</t>
  </si>
  <si>
    <t>Auszahlungsbetrag</t>
  </si>
  <si>
    <t>Monat</t>
  </si>
  <si>
    <t>Gebühr</t>
  </si>
  <si>
    <t>(Kürzel angeben)</t>
  </si>
  <si>
    <t>Ergebnis</t>
  </si>
  <si>
    <t>AEAB</t>
  </si>
  <si>
    <t>Freibetrag</t>
  </si>
  <si>
    <t>Lst-BMGL.</t>
  </si>
  <si>
    <t>von</t>
  </si>
  <si>
    <t>bis</t>
  </si>
  <si>
    <t>Grenzsteuersatz</t>
  </si>
  <si>
    <t>darüber</t>
  </si>
  <si>
    <t>Anzahl kinder</t>
  </si>
  <si>
    <t>Summe Kinder</t>
  </si>
  <si>
    <t>Nebenkosten</t>
  </si>
  <si>
    <t>SV-DGA</t>
  </si>
  <si>
    <t>Beitr. Vorsorge</t>
  </si>
  <si>
    <t>DB</t>
  </si>
  <si>
    <t>DZ</t>
  </si>
  <si>
    <t>KommSt</t>
  </si>
  <si>
    <t>Höhe in %</t>
  </si>
  <si>
    <t>Bemmesungsgr.</t>
  </si>
  <si>
    <t>Höhe in EUR</t>
  </si>
  <si>
    <t>6560 / 3600</t>
  </si>
  <si>
    <t>6441 / 3600</t>
  </si>
  <si>
    <t>(-)</t>
  </si>
  <si>
    <t>6660 / 3540</t>
  </si>
  <si>
    <t>6670 / 3540</t>
  </si>
  <si>
    <t>6680 / 3610</t>
  </si>
  <si>
    <t>PP</t>
  </si>
  <si>
    <t>Klein</t>
  </si>
  <si>
    <t>Monatsbetrag</t>
  </si>
  <si>
    <t>Große</t>
  </si>
  <si>
    <t>Kilometer</t>
  </si>
  <si>
    <t>Anzahl Fahrten</t>
  </si>
  <si>
    <t>Pendlerpauschale</t>
  </si>
  <si>
    <t>(Groß/Klein)</t>
  </si>
  <si>
    <t>(Ja/Nein)</t>
  </si>
  <si>
    <t>Sozialversicherung</t>
  </si>
  <si>
    <t>(DGA/DNA)</t>
  </si>
  <si>
    <t>DNA</t>
  </si>
  <si>
    <t>Grenze</t>
  </si>
  <si>
    <t>DGA</t>
  </si>
  <si>
    <t>Spalte</t>
  </si>
  <si>
    <t>AEAB/AVAB</t>
  </si>
  <si>
    <t>Mitglied</t>
  </si>
  <si>
    <t>Maximum</t>
  </si>
  <si>
    <t>(bei Übung immer &gt;11)</t>
  </si>
  <si>
    <t>Überstunden</t>
  </si>
  <si>
    <t>-E-Card-Gebühr</t>
  </si>
  <si>
    <t>-Gewerkschaftsbeitrag</t>
  </si>
  <si>
    <t>Überstundenteiler</t>
  </si>
  <si>
    <t>Ü-Entgeld</t>
  </si>
  <si>
    <t>davon steuerfrei</t>
  </si>
  <si>
    <t>davon steuerpflichtig</t>
  </si>
  <si>
    <t>-Ü. Zuschlag steuerfrei</t>
  </si>
  <si>
    <t>Höchstbeitragsgrundlage</t>
  </si>
  <si>
    <t>Ja</t>
  </si>
  <si>
    <t>Halbes Fabo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</si>
</sst>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44" fontId="0" fillId="0" borderId="1" xfId="0" applyNumberFormat="1" applyBorder="1"/>
    <xf numFmtId="0" fontId="0" fillId="0" borderId="2" xfId="0" applyBorder="1"/>
    <xf numFmtId="10" fontId="0" fillId="0" borderId="1" xfId="0" applyNumberFormat="1" applyBorder="1"/>
    <xf numFmtId="0" fontId="0" fillId="0" borderId="1" xfId="0" applyBorder="1"/>
    <xf numFmtId="44" fontId="0" fillId="0" borderId="3" xfId="0" applyNumberFormat="1" applyBorder="1"/>
    <xf numFmtId="0" fontId="0" fillId="0" borderId="4" xfId="0" quotePrefix="1" applyBorder="1"/>
    <xf numFmtId="10" fontId="0" fillId="0" borderId="0" xfId="0" applyNumberFormat="1"/>
    <xf numFmtId="44" fontId="0" fillId="0" borderId="5" xfId="0" applyNumberFormat="1" applyBorder="1"/>
    <xf numFmtId="44" fontId="0" fillId="0" borderId="0" xfId="0" applyNumberFormat="1"/>
    <xf numFmtId="0" fontId="0" fillId="0" borderId="5" xfId="0" applyBorder="1"/>
    <xf numFmtId="0" fontId="0" fillId="0" borderId="4" xfId="0" applyBorder="1"/>
    <xf numFmtId="9" fontId="0" fillId="0" borderId="0" xfId="0" applyNumberFormat="1"/>
    <xf numFmtId="0" fontId="1" fillId="0" borderId="6" xfId="0" applyFont="1" applyBorder="1"/>
    <xf numFmtId="0" fontId="1" fillId="0" borderId="7" xfId="0" applyFont="1" applyBorder="1"/>
    <xf numFmtId="44" fontId="1" fillId="0" borderId="8" xfId="0" applyNumberFormat="1" applyFont="1" applyBorder="1"/>
    <xf numFmtId="0" fontId="0" fillId="0" borderId="6" xfId="0" applyBorder="1"/>
    <xf numFmtId="0" fontId="0" fillId="0" borderId="7" xfId="0" applyBorder="1"/>
    <xf numFmtId="44" fontId="0" fillId="0" borderId="7" xfId="0" applyNumberFormat="1" applyBorder="1"/>
    <xf numFmtId="44" fontId="0" fillId="0" borderId="8" xfId="0" applyNumberFormat="1" applyBorder="1"/>
    <xf numFmtId="0" fontId="0" fillId="0" borderId="3" xfId="0" applyBorder="1"/>
    <xf numFmtId="0" fontId="0" fillId="0" borderId="11" xfId="0" applyBorder="1"/>
    <xf numFmtId="0" fontId="0" fillId="0" borderId="10" xfId="0" applyBorder="1"/>
    <xf numFmtId="9" fontId="0" fillId="0" borderId="4" xfId="0" applyNumberFormat="1" applyBorder="1"/>
    <xf numFmtId="9" fontId="0" fillId="0" borderId="6" xfId="2" applyFont="1" applyBorder="1"/>
    <xf numFmtId="0" fontId="0" fillId="0" borderId="8" xfId="0" applyBorder="1"/>
    <xf numFmtId="44" fontId="0" fillId="0" borderId="6" xfId="0" applyNumberFormat="1" applyBorder="1"/>
    <xf numFmtId="9" fontId="0" fillId="0" borderId="7" xfId="0" applyNumberFormat="1" applyBorder="1"/>
    <xf numFmtId="44" fontId="0" fillId="0" borderId="0" xfId="1" applyFont="1" applyBorder="1"/>
    <xf numFmtId="44" fontId="0" fillId="0" borderId="5" xfId="1" applyFont="1" applyBorder="1"/>
    <xf numFmtId="44" fontId="0" fillId="0" borderId="7" xfId="1" applyFont="1" applyBorder="1"/>
    <xf numFmtId="44" fontId="0" fillId="0" borderId="8" xfId="1" applyFont="1" applyBorder="1"/>
    <xf numFmtId="0" fontId="0" fillId="0" borderId="9" xfId="0" applyBorder="1"/>
    <xf numFmtId="44" fontId="0" fillId="0" borderId="0" xfId="1" applyFont="1"/>
    <xf numFmtId="164" fontId="0" fillId="0" borderId="0" xfId="0" applyNumberFormat="1"/>
    <xf numFmtId="44" fontId="0" fillId="0" borderId="6" xfId="1" applyFont="1" applyBorder="1"/>
    <xf numFmtId="44" fontId="0" fillId="0" borderId="4" xfId="1" applyFont="1" applyBorder="1"/>
    <xf numFmtId="10" fontId="0" fillId="0" borderId="5" xfId="0" applyNumberFormat="1" applyBorder="1"/>
    <xf numFmtId="10" fontId="0" fillId="0" borderId="6" xfId="2" applyNumberFormat="1" applyFont="1" applyBorder="1"/>
    <xf numFmtId="10" fontId="0" fillId="0" borderId="7" xfId="0" applyNumberFormat="1" applyBorder="1"/>
    <xf numFmtId="10" fontId="0" fillId="0" borderId="8" xfId="0" applyNumberFormat="1" applyBorder="1"/>
    <xf numFmtId="0" fontId="0" fillId="2" borderId="6" xfId="0" applyFill="1" applyBorder="1"/>
    <xf numFmtId="44" fontId="0" fillId="2" borderId="9" xfId="0" applyNumberFormat="1" applyFill="1" applyBorder="1"/>
    <xf numFmtId="0" fontId="0" fillId="2" borderId="7" xfId="0" applyFill="1" applyBorder="1"/>
    <xf numFmtId="44" fontId="0" fillId="0" borderId="0" xfId="1" applyFont="1" applyFill="1" applyBorder="1"/>
    <xf numFmtId="0" fontId="0" fillId="2" borderId="4" xfId="0" applyFill="1" applyBorder="1"/>
    <xf numFmtId="44" fontId="0" fillId="0" borderId="4" xfId="0" applyNumberFormat="1" applyBorder="1"/>
    <xf numFmtId="0" fontId="0" fillId="2" borderId="8" xfId="0" applyFill="1" applyBorder="1"/>
    <xf numFmtId="44" fontId="0" fillId="2" borderId="6" xfId="1" applyFont="1" applyFill="1" applyBorder="1"/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B95AD-75E1-4BEB-B620-CC12CD7A193B}">
  <dimension ref="A1:Y45"/>
  <sheetViews>
    <sheetView tabSelected="1" zoomScale="83" zoomScaleNormal="100" workbookViewId="0">
      <selection activeCell="O13" sqref="O13"/>
    </sheetView>
  </sheetViews>
  <sheetFormatPr baseColWidth="10" defaultRowHeight="14.4" x14ac:dyDescent="0.3"/>
  <cols>
    <col min="2" max="2" width="18.77734375" bestFit="1" customWidth="1"/>
    <col min="3" max="3" width="19.88671875" bestFit="1" customWidth="1"/>
    <col min="4" max="4" width="13.77734375" bestFit="1" customWidth="1"/>
    <col min="5" max="5" width="11.77734375" bestFit="1" customWidth="1"/>
    <col min="8" max="8" width="18.6640625" bestFit="1" customWidth="1"/>
    <col min="9" max="9" width="25.5546875" bestFit="1" customWidth="1"/>
    <col min="10" max="10" width="16.44140625" bestFit="1" customWidth="1"/>
    <col min="11" max="11" width="15.6640625" bestFit="1" customWidth="1"/>
    <col min="12" max="12" width="20.109375" bestFit="1" customWidth="1"/>
    <col min="13" max="13" width="12.5546875" bestFit="1" customWidth="1"/>
    <col min="14" max="14" width="14.33203125" bestFit="1" customWidth="1"/>
    <col min="15" max="15" width="13" customWidth="1"/>
    <col min="17" max="17" width="12.5546875" bestFit="1" customWidth="1"/>
    <col min="18" max="18" width="11.77734375" bestFit="1" customWidth="1"/>
    <col min="19" max="19" width="16.44140625" bestFit="1" customWidth="1"/>
  </cols>
  <sheetData>
    <row r="1" spans="1:25" x14ac:dyDescent="0.3">
      <c r="A1" s="1"/>
    </row>
    <row r="3" spans="1:25" x14ac:dyDescent="0.3">
      <c r="B3" s="3" t="s">
        <v>1</v>
      </c>
      <c r="C3" s="4">
        <v>1</v>
      </c>
      <c r="D3" s="5"/>
      <c r="E3" s="5"/>
      <c r="F3" s="6">
        <f>H8+SUM(Q38:R38)*R40+Q40</f>
        <v>0</v>
      </c>
      <c r="H3" s="3" t="s">
        <v>4</v>
      </c>
      <c r="I3" s="21"/>
      <c r="K3" s="3" t="s">
        <v>19</v>
      </c>
      <c r="L3" s="5" t="s">
        <v>59</v>
      </c>
      <c r="M3" s="5" t="s">
        <v>60</v>
      </c>
      <c r="N3" s="21"/>
      <c r="Q3" s="3" t="s">
        <v>32</v>
      </c>
      <c r="R3" s="5"/>
      <c r="S3" s="5"/>
      <c r="T3" s="5"/>
      <c r="U3" s="5"/>
      <c r="V3" s="5"/>
      <c r="W3" s="5"/>
      <c r="X3" s="5"/>
      <c r="Y3" s="21"/>
    </row>
    <row r="4" spans="1:25" x14ac:dyDescent="0.3">
      <c r="B4" s="7" t="s">
        <v>2</v>
      </c>
      <c r="C4" s="8">
        <f>Q33</f>
        <v>0.1512</v>
      </c>
      <c r="F4" s="9">
        <f>IF(F3&gt;H5,H5*C4,F3*C4)</f>
        <v>0</v>
      </c>
      <c r="H4" s="46" t="s">
        <v>65</v>
      </c>
      <c r="I4" s="11" t="s">
        <v>64</v>
      </c>
      <c r="K4" s="42"/>
      <c r="L4" s="44">
        <v>12</v>
      </c>
      <c r="M4" s="44"/>
      <c r="N4" s="26" t="s">
        <v>61</v>
      </c>
      <c r="Q4" s="27">
        <f>D12</f>
        <v>0</v>
      </c>
      <c r="R4" s="18"/>
      <c r="S4" s="18"/>
      <c r="U4" s="18" t="s">
        <v>30</v>
      </c>
      <c r="V4" s="18" t="s">
        <v>37</v>
      </c>
      <c r="W4" s="18"/>
      <c r="X4" s="18"/>
      <c r="Y4" s="26"/>
    </row>
    <row r="5" spans="1:25" x14ac:dyDescent="0.3">
      <c r="B5" s="7" t="s">
        <v>3</v>
      </c>
      <c r="C5" t="s">
        <v>1</v>
      </c>
      <c r="D5" s="10">
        <f>F3</f>
        <v>0</v>
      </c>
      <c r="F5" s="9"/>
      <c r="H5" s="49">
        <v>5850</v>
      </c>
      <c r="I5" s="26" t="s">
        <v>81</v>
      </c>
      <c r="L5" t="s">
        <v>72</v>
      </c>
      <c r="Q5" s="24" t="s">
        <v>33</v>
      </c>
      <c r="R5" t="s">
        <v>34</v>
      </c>
      <c r="S5" t="s">
        <v>35</v>
      </c>
      <c r="T5" s="5"/>
      <c r="U5">
        <v>1</v>
      </c>
      <c r="V5">
        <v>2</v>
      </c>
      <c r="W5">
        <v>3</v>
      </c>
      <c r="X5">
        <v>4</v>
      </c>
      <c r="Y5" s="11">
        <v>5</v>
      </c>
    </row>
    <row r="6" spans="1:25" x14ac:dyDescent="0.3">
      <c r="B6" s="12"/>
      <c r="C6" s="1" t="s">
        <v>0</v>
      </c>
      <c r="D6" s="10">
        <f>F4</f>
        <v>0</v>
      </c>
      <c r="F6" s="9"/>
      <c r="Q6" s="37">
        <v>0</v>
      </c>
      <c r="R6" s="34">
        <f>Q7-0.01</f>
        <v>985.42</v>
      </c>
      <c r="S6" s="13">
        <v>0</v>
      </c>
      <c r="T6" s="34">
        <v>0</v>
      </c>
      <c r="U6" s="29">
        <v>0</v>
      </c>
      <c r="V6" s="29">
        <v>0</v>
      </c>
      <c r="W6" s="29">
        <v>0</v>
      </c>
      <c r="X6" s="29">
        <v>0</v>
      </c>
      <c r="Y6" s="30">
        <v>0</v>
      </c>
    </row>
    <row r="7" spans="1:25" x14ac:dyDescent="0.3">
      <c r="B7" s="12"/>
      <c r="C7" s="1" t="s">
        <v>80</v>
      </c>
      <c r="D7" s="10">
        <f>Q42+R40</f>
        <v>0</v>
      </c>
      <c r="F7" s="11"/>
      <c r="H7" s="22" t="s">
        <v>1</v>
      </c>
      <c r="J7" s="22" t="s">
        <v>31</v>
      </c>
      <c r="L7" s="22" t="s">
        <v>24</v>
      </c>
      <c r="Q7" s="37">
        <v>985.43</v>
      </c>
      <c r="R7" s="34">
        <f t="shared" ref="R7:R10" si="0">Q8-0.01</f>
        <v>1605.5</v>
      </c>
      <c r="S7" s="13">
        <v>0.2</v>
      </c>
      <c r="T7" s="34">
        <v>232.16</v>
      </c>
      <c r="U7" s="29">
        <v>275.49</v>
      </c>
      <c r="V7" s="29">
        <v>290.83</v>
      </c>
      <c r="W7" s="29">
        <v>310.16000000000003</v>
      </c>
      <c r="X7" s="29">
        <v>329.49</v>
      </c>
      <c r="Y7" s="30">
        <v>348.82</v>
      </c>
    </row>
    <row r="8" spans="1:25" x14ac:dyDescent="0.3">
      <c r="B8" s="12"/>
      <c r="C8" s="1" t="s">
        <v>5</v>
      </c>
      <c r="D8" s="10">
        <f>J8</f>
        <v>0</v>
      </c>
      <c r="F8" s="9"/>
      <c r="H8" s="43"/>
      <c r="J8" s="43"/>
      <c r="L8" s="43"/>
      <c r="Q8" s="37">
        <v>1605.51</v>
      </c>
      <c r="R8" s="34">
        <f t="shared" si="0"/>
        <v>2683.9199999999996</v>
      </c>
      <c r="S8" s="13">
        <v>0.3</v>
      </c>
      <c r="T8" s="34">
        <v>392.71</v>
      </c>
      <c r="U8" s="29">
        <v>436.04</v>
      </c>
      <c r="V8" s="29">
        <v>451.38</v>
      </c>
      <c r="W8" s="29">
        <v>470.71</v>
      </c>
      <c r="X8" s="29">
        <v>490.04</v>
      </c>
      <c r="Y8" s="30">
        <v>509.37</v>
      </c>
    </row>
    <row r="9" spans="1:25" x14ac:dyDescent="0.3">
      <c r="B9" s="12"/>
      <c r="C9" s="1" t="s">
        <v>75</v>
      </c>
      <c r="D9" s="10">
        <f>IF(L18="Ja",M18,0)</f>
        <v>0</v>
      </c>
      <c r="F9" s="11"/>
      <c r="Q9" s="37">
        <v>2683.93</v>
      </c>
      <c r="R9" s="34">
        <f t="shared" si="0"/>
        <v>5184.33</v>
      </c>
      <c r="S9" s="13">
        <v>0.41</v>
      </c>
      <c r="T9" s="34">
        <v>687.94</v>
      </c>
      <c r="U9" s="29">
        <v>731.27</v>
      </c>
      <c r="V9" s="29">
        <v>746.61</v>
      </c>
      <c r="W9" s="29">
        <v>765.94</v>
      </c>
      <c r="X9" s="29">
        <v>785.27</v>
      </c>
      <c r="Y9" s="30">
        <v>804.6</v>
      </c>
    </row>
    <row r="10" spans="1:25" x14ac:dyDescent="0.3">
      <c r="B10" s="12"/>
      <c r="C10" s="1" t="s">
        <v>74</v>
      </c>
      <c r="D10" s="10">
        <f>IF(F9="Nov",H8,0)</f>
        <v>0</v>
      </c>
      <c r="F10" s="11"/>
      <c r="H10" s="3" t="s">
        <v>16</v>
      </c>
      <c r="I10" s="5" t="s">
        <v>10</v>
      </c>
      <c r="J10" s="5" t="s">
        <v>9</v>
      </c>
      <c r="K10" s="5" t="s">
        <v>11</v>
      </c>
      <c r="L10" s="5" t="s">
        <v>12</v>
      </c>
      <c r="M10" s="5" t="s">
        <v>38</v>
      </c>
      <c r="N10" s="5" t="s">
        <v>83</v>
      </c>
      <c r="O10" s="21" t="s">
        <v>13</v>
      </c>
      <c r="Q10" s="37">
        <v>5184.34</v>
      </c>
      <c r="R10" s="34">
        <f t="shared" si="0"/>
        <v>7771</v>
      </c>
      <c r="S10" s="13">
        <v>0.48</v>
      </c>
      <c r="T10" s="34">
        <v>1050.8499999999999</v>
      </c>
      <c r="U10" s="29">
        <v>1094.18</v>
      </c>
      <c r="V10" s="29">
        <v>1109.52</v>
      </c>
      <c r="W10" s="29">
        <v>1128.8499999999999</v>
      </c>
      <c r="X10" s="29">
        <v>1148.18</v>
      </c>
      <c r="Y10" s="30">
        <v>1167.51</v>
      </c>
    </row>
    <row r="11" spans="1:25" x14ac:dyDescent="0.3">
      <c r="B11" s="12"/>
      <c r="C11" s="1" t="s">
        <v>6</v>
      </c>
      <c r="D11" s="10">
        <f>IF(K4=0,0,Q25)</f>
        <v>0</v>
      </c>
      <c r="F11" s="9"/>
      <c r="H11" s="17"/>
      <c r="I11" s="18">
        <v>166.68</v>
      </c>
      <c r="J11" s="18">
        <v>54.18</v>
      </c>
      <c r="K11" s="44">
        <v>0</v>
      </c>
      <c r="L11" s="44">
        <v>0</v>
      </c>
      <c r="M11" s="18">
        <f>SUM(K11:L11)</f>
        <v>0</v>
      </c>
      <c r="N11" s="18" t="s">
        <v>82</v>
      </c>
      <c r="O11" s="20">
        <f>I11*K11+J11*L11</f>
        <v>0</v>
      </c>
      <c r="Q11" s="37">
        <v>7771.01</v>
      </c>
      <c r="R11" s="34">
        <v>83344.33</v>
      </c>
      <c r="S11" s="13">
        <v>0.5</v>
      </c>
      <c r="T11" s="45">
        <v>1206.27</v>
      </c>
      <c r="U11" s="29">
        <v>1249.5999999999999</v>
      </c>
      <c r="V11" s="29">
        <v>1264.94</v>
      </c>
      <c r="W11" s="29">
        <v>1284.27</v>
      </c>
      <c r="X11" s="29">
        <v>1303.5999999999999</v>
      </c>
      <c r="Y11" s="30">
        <v>1322.93</v>
      </c>
    </row>
    <row r="12" spans="1:25" x14ac:dyDescent="0.3">
      <c r="B12" s="12"/>
      <c r="C12" t="s">
        <v>7</v>
      </c>
      <c r="D12" s="2">
        <f>D5-SUM(D6:D11)</f>
        <v>0</v>
      </c>
      <c r="F12" s="9"/>
      <c r="Q12" s="17"/>
      <c r="R12" s="18" t="s">
        <v>36</v>
      </c>
      <c r="S12" s="28">
        <v>0.55000000000000004</v>
      </c>
      <c r="T12" s="31">
        <v>5373.48</v>
      </c>
      <c r="U12" s="31">
        <v>5416.81</v>
      </c>
      <c r="V12" s="31">
        <v>5432.15</v>
      </c>
      <c r="W12" s="31">
        <v>5451.48</v>
      </c>
      <c r="X12" s="31">
        <v>5470.81</v>
      </c>
      <c r="Y12" s="32">
        <v>5490.14</v>
      </c>
    </row>
    <row r="13" spans="1:25" x14ac:dyDescent="0.3">
      <c r="B13" s="12"/>
      <c r="C13" s="13" t="s">
        <v>3</v>
      </c>
      <c r="E13" s="10">
        <f>D12*Q14</f>
        <v>0</v>
      </c>
      <c r="F13" s="9"/>
      <c r="H13" s="3" t="s">
        <v>17</v>
      </c>
      <c r="I13" s="5" t="s">
        <v>18</v>
      </c>
      <c r="J13" s="21" t="s">
        <v>29</v>
      </c>
      <c r="L13" s="3" t="s">
        <v>69</v>
      </c>
      <c r="M13" s="21"/>
      <c r="Q13" s="12" t="s">
        <v>3</v>
      </c>
      <c r="R13" t="s">
        <v>30</v>
      </c>
      <c r="Y13" s="11"/>
    </row>
    <row r="14" spans="1:25" x14ac:dyDescent="0.3">
      <c r="B14" s="12"/>
      <c r="C14" s="1" t="s">
        <v>8</v>
      </c>
      <c r="E14" s="10">
        <f>IF(N11="Ja",O11/2,O11)</f>
        <v>0</v>
      </c>
      <c r="F14" s="9"/>
      <c r="H14" s="17"/>
      <c r="I14" s="19">
        <v>8</v>
      </c>
      <c r="J14" s="20" t="e">
        <f>IF(Q25=0,0,I14*K4/12)</f>
        <v>#VALUE!</v>
      </c>
      <c r="L14" s="42"/>
      <c r="M14" s="26" t="s">
        <v>62</v>
      </c>
      <c r="Q14" s="25">
        <f>IF(Q4&lt;=R6,S6,IF(Q4&lt;=R7,S7,IF(Q4&lt;=R8,S8,IF(Q4&lt;=R9,S9,IF(Q4&lt;=R10,IF(Q4&lt;=R11,S10,S11),S12)))))</f>
        <v>0</v>
      </c>
      <c r="R14" s="31" cm="1">
        <f t="array" ref="R14">IF(L14="Ja",INDEX(U6:Y12,MATCH(Q14,S6:S12),M11),INDEX(T6:T12,MATCH(Q14,S6:S12),1))</f>
        <v>0</v>
      </c>
      <c r="S14" s="18"/>
      <c r="T14" s="18"/>
      <c r="U14" s="18"/>
      <c r="V14" s="18"/>
      <c r="W14" s="18"/>
      <c r="X14" s="18"/>
      <c r="Y14" s="26"/>
    </row>
    <row r="15" spans="1:25" x14ac:dyDescent="0.3">
      <c r="B15" s="12"/>
      <c r="C15" s="1" t="s">
        <v>14</v>
      </c>
      <c r="E15" s="10">
        <f>R14</f>
        <v>0</v>
      </c>
      <c r="F15" s="9"/>
    </row>
    <row r="16" spans="1:25" x14ac:dyDescent="0.3">
      <c r="B16" s="12"/>
      <c r="C16" s="1" t="s">
        <v>15</v>
      </c>
      <c r="E16" s="10">
        <f>IF(K4=0,0,J14)</f>
        <v>0</v>
      </c>
      <c r="F16" s="9"/>
      <c r="H16" s="3" t="s">
        <v>23</v>
      </c>
      <c r="I16" s="5"/>
      <c r="J16" s="21"/>
      <c r="L16" s="3" t="s">
        <v>21</v>
      </c>
      <c r="M16" s="5"/>
      <c r="N16" s="21"/>
      <c r="Q16" s="3" t="s">
        <v>54</v>
      </c>
      <c r="R16" s="5"/>
      <c r="S16" s="5"/>
      <c r="T16" s="5"/>
      <c r="U16" s="5"/>
      <c r="V16" s="21"/>
    </row>
    <row r="17" spans="2:22" x14ac:dyDescent="0.3">
      <c r="B17" s="12" t="s">
        <v>3</v>
      </c>
      <c r="E17" s="10">
        <f>E13-SUM(E14:E16)</f>
        <v>0</v>
      </c>
      <c r="F17" s="9">
        <f>E17</f>
        <v>0</v>
      </c>
      <c r="H17" s="12" t="s">
        <v>26</v>
      </c>
      <c r="J17" s="11" t="s">
        <v>27</v>
      </c>
      <c r="L17" s="12" t="s">
        <v>70</v>
      </c>
      <c r="N17" s="11" t="s">
        <v>71</v>
      </c>
      <c r="Q17" s="12" t="s">
        <v>55</v>
      </c>
      <c r="V17" s="11"/>
    </row>
    <row r="18" spans="2:22" x14ac:dyDescent="0.3">
      <c r="B18" s="12" t="s">
        <v>21</v>
      </c>
      <c r="F18" s="9">
        <f>IF(L18="Ja",M18,0)</f>
        <v>0</v>
      </c>
      <c r="H18" s="42"/>
      <c r="I18" s="18" t="s">
        <v>28</v>
      </c>
      <c r="J18" s="20">
        <v>8</v>
      </c>
      <c r="L18" s="42"/>
      <c r="M18" s="31">
        <f>IF(H8*0.01&gt;N18,N18,H8*0.01)</f>
        <v>0</v>
      </c>
      <c r="N18" s="32">
        <v>36.299999999999997</v>
      </c>
      <c r="O18" s="29"/>
      <c r="Q18" s="12" t="s">
        <v>58</v>
      </c>
      <c r="S18">
        <v>21</v>
      </c>
      <c r="T18">
        <v>41</v>
      </c>
      <c r="U18">
        <v>61</v>
      </c>
      <c r="V18" s="11"/>
    </row>
    <row r="19" spans="2:22" x14ac:dyDescent="0.3">
      <c r="B19" s="12" t="s">
        <v>22</v>
      </c>
      <c r="F19" s="9">
        <v>0</v>
      </c>
      <c r="Q19" s="12" t="s">
        <v>56</v>
      </c>
      <c r="S19" s="35">
        <v>87</v>
      </c>
      <c r="T19" s="29">
        <v>169.5</v>
      </c>
      <c r="U19" s="29">
        <v>252</v>
      </c>
      <c r="V19" s="11"/>
    </row>
    <row r="20" spans="2:22" x14ac:dyDescent="0.3">
      <c r="B20" s="12" t="s">
        <v>23</v>
      </c>
      <c r="F20" s="9">
        <f>IF(H18="Nov",J18,0)</f>
        <v>0</v>
      </c>
      <c r="H20" s="3" t="s">
        <v>73</v>
      </c>
      <c r="I20" s="5"/>
      <c r="J20" s="21"/>
      <c r="Q20" s="12"/>
      <c r="V20" s="11"/>
    </row>
    <row r="21" spans="2:22" x14ac:dyDescent="0.3">
      <c r="B21" s="14" t="s">
        <v>20</v>
      </c>
      <c r="C21" s="15"/>
      <c r="D21" s="15"/>
      <c r="E21" s="15"/>
      <c r="F21" s="16">
        <f>F3-SUM(F4:F20)</f>
        <v>0</v>
      </c>
      <c r="H21" s="24">
        <v>0.5</v>
      </c>
      <c r="I21" s="13">
        <v>1</v>
      </c>
      <c r="J21" s="11" t="s">
        <v>76</v>
      </c>
      <c r="Q21" s="12" t="s">
        <v>57</v>
      </c>
      <c r="V21" s="11"/>
    </row>
    <row r="22" spans="2:22" x14ac:dyDescent="0.3">
      <c r="B22" s="3" t="s">
        <v>24</v>
      </c>
      <c r="C22" s="5"/>
      <c r="D22" s="5"/>
      <c r="E22" s="5"/>
      <c r="F22" s="6">
        <f>L8</f>
        <v>0</v>
      </c>
      <c r="H22" s="42"/>
      <c r="I22" s="44"/>
      <c r="J22" s="48">
        <v>1</v>
      </c>
      <c r="Q22" s="12" t="s">
        <v>58</v>
      </c>
      <c r="R22">
        <v>3</v>
      </c>
      <c r="S22">
        <v>21</v>
      </c>
      <c r="T22">
        <v>40</v>
      </c>
      <c r="U22">
        <v>61</v>
      </c>
      <c r="V22" s="11"/>
    </row>
    <row r="23" spans="2:22" x14ac:dyDescent="0.3">
      <c r="B23" s="14" t="s">
        <v>25</v>
      </c>
      <c r="C23" s="15"/>
      <c r="D23" s="15"/>
      <c r="E23" s="15"/>
      <c r="F23" s="16">
        <f>F21-F22</f>
        <v>0</v>
      </c>
      <c r="Q23" s="17" t="s">
        <v>56</v>
      </c>
      <c r="R23" s="31">
        <v>46.5</v>
      </c>
      <c r="S23" s="31">
        <v>184.5</v>
      </c>
      <c r="T23" s="31">
        <v>321</v>
      </c>
      <c r="U23" s="31">
        <v>459</v>
      </c>
      <c r="V23" s="26"/>
    </row>
    <row r="24" spans="2:22" x14ac:dyDescent="0.3">
      <c r="Q24" s="12" t="s">
        <v>54</v>
      </c>
      <c r="V24" s="11"/>
    </row>
    <row r="25" spans="2:22" x14ac:dyDescent="0.3">
      <c r="Q25" s="36" t="e">
        <f>IF(M4="Groß",INDEX(R23:U23,1,MATCH(K4,R22:U22)),IF(M4="Klein",INDEX(R19:U19,1,MATCH(K4,R18:U18)),""))*IF(L4&gt;11,1,IF(L4&gt;8,2/3,IF(L4&gt;4,1/3,0)))</f>
        <v>#VALUE!</v>
      </c>
      <c r="R25" s="18"/>
      <c r="S25" s="18"/>
      <c r="T25" s="18"/>
      <c r="U25" s="18"/>
      <c r="V25" s="26"/>
    </row>
    <row r="27" spans="2:22" x14ac:dyDescent="0.3">
      <c r="Q27" s="3" t="s">
        <v>63</v>
      </c>
      <c r="R27" s="5"/>
      <c r="S27" s="5"/>
      <c r="T27" s="5"/>
      <c r="U27" s="21"/>
    </row>
    <row r="28" spans="2:22" x14ac:dyDescent="0.3">
      <c r="Q28" s="12">
        <f>IF(H8&lt;S29,1,IF(H8&gt;S29,IF(H8&gt;T29,4,2),3))</f>
        <v>1</v>
      </c>
      <c r="R28" t="s">
        <v>68</v>
      </c>
      <c r="U28" s="11"/>
    </row>
    <row r="29" spans="2:22" x14ac:dyDescent="0.3">
      <c r="Q29" s="12" t="s">
        <v>66</v>
      </c>
      <c r="S29" s="29">
        <v>1885</v>
      </c>
      <c r="T29" s="29">
        <v>2228</v>
      </c>
      <c r="U29" s="11"/>
    </row>
    <row r="30" spans="2:22" x14ac:dyDescent="0.3">
      <c r="Q30" s="12" t="s">
        <v>65</v>
      </c>
      <c r="R30" s="8">
        <v>0.1512</v>
      </c>
      <c r="S30" s="8">
        <v>0.16120000000000001</v>
      </c>
      <c r="T30" s="8">
        <v>0.17119999999999999</v>
      </c>
      <c r="U30" s="38">
        <v>0.1812</v>
      </c>
    </row>
    <row r="31" spans="2:22" x14ac:dyDescent="0.3">
      <c r="Q31" s="17" t="s">
        <v>67</v>
      </c>
      <c r="R31" s="40">
        <v>0.21029999999999999</v>
      </c>
      <c r="S31" s="40">
        <v>0.21029999999999999</v>
      </c>
      <c r="T31" s="40">
        <v>0.21029999999999999</v>
      </c>
      <c r="U31" s="41">
        <v>0.21029999999999999</v>
      </c>
    </row>
    <row r="32" spans="2:22" x14ac:dyDescent="0.3">
      <c r="Q32" s="12"/>
      <c r="U32" s="11"/>
    </row>
    <row r="33" spans="2:21" x14ac:dyDescent="0.3">
      <c r="Q33" s="39" cm="1">
        <f t="array" ref="Q33">INDEX(R30:U31,MATCH(H4,Q30:Q31),Q28)</f>
        <v>0.1512</v>
      </c>
      <c r="R33" s="18"/>
      <c r="S33" s="18"/>
      <c r="T33" s="18"/>
      <c r="U33" s="26"/>
    </row>
    <row r="35" spans="2:21" x14ac:dyDescent="0.3">
      <c r="Q35" s="3" t="s">
        <v>73</v>
      </c>
      <c r="R35" s="5"/>
      <c r="S35" s="21"/>
    </row>
    <row r="36" spans="2:21" x14ac:dyDescent="0.3">
      <c r="Q36" s="12" t="s">
        <v>77</v>
      </c>
      <c r="R36" s="29">
        <f>H8/S38</f>
        <v>0</v>
      </c>
      <c r="S36" s="11"/>
      <c r="T36" s="13"/>
    </row>
    <row r="37" spans="2:21" x14ac:dyDescent="0.3">
      <c r="Q37" s="24">
        <v>0.5</v>
      </c>
      <c r="R37" s="13">
        <v>1</v>
      </c>
      <c r="S37" s="11" t="s">
        <v>76</v>
      </c>
    </row>
    <row r="38" spans="2:21" x14ac:dyDescent="0.3">
      <c r="B38" s="3" t="s">
        <v>39</v>
      </c>
      <c r="C38" s="5" t="s">
        <v>45</v>
      </c>
      <c r="D38" s="5" t="s">
        <v>46</v>
      </c>
      <c r="E38" s="21" t="s">
        <v>47</v>
      </c>
      <c r="Q38" s="12">
        <f>H22</f>
        <v>0</v>
      </c>
      <c r="R38">
        <f>I22</f>
        <v>0</v>
      </c>
      <c r="S38" s="11">
        <f>J22</f>
        <v>1</v>
      </c>
    </row>
    <row r="39" spans="2:21" x14ac:dyDescent="0.3">
      <c r="B39" s="17"/>
      <c r="C39" s="18"/>
      <c r="D39" s="19">
        <f>$H$8</f>
        <v>0</v>
      </c>
      <c r="E39" s="26"/>
      <c r="Q39" s="47">
        <f>R36*Q37</f>
        <v>0</v>
      </c>
      <c r="R39" s="10">
        <f>R36*R37</f>
        <v>0</v>
      </c>
      <c r="S39" s="11"/>
    </row>
    <row r="40" spans="2:21" x14ac:dyDescent="0.3">
      <c r="B40" s="12" t="s">
        <v>40</v>
      </c>
      <c r="C40" s="8">
        <v>0.21029999999999999</v>
      </c>
      <c r="D40" s="22"/>
      <c r="E40" s="9">
        <f>$D$39*C40</f>
        <v>0</v>
      </c>
      <c r="G40" t="s">
        <v>48</v>
      </c>
      <c r="H40" t="s">
        <v>50</v>
      </c>
      <c r="Q40" s="47">
        <f>Q39*Q38</f>
        <v>0</v>
      </c>
      <c r="R40" s="10">
        <f>R39*R38</f>
        <v>0</v>
      </c>
      <c r="S40" s="11"/>
    </row>
    <row r="41" spans="2:21" x14ac:dyDescent="0.3">
      <c r="B41" s="12" t="s">
        <v>41</v>
      </c>
      <c r="C41" s="8">
        <v>1.5299999999999999E-2</v>
      </c>
      <c r="D41" s="23"/>
      <c r="E41" s="9">
        <f>$D$39*C41</f>
        <v>0</v>
      </c>
      <c r="G41" t="s">
        <v>49</v>
      </c>
      <c r="H41" t="s">
        <v>50</v>
      </c>
      <c r="Q41" s="12" t="s">
        <v>78</v>
      </c>
      <c r="S41" s="11"/>
    </row>
    <row r="42" spans="2:21" x14ac:dyDescent="0.3">
      <c r="B42" s="12" t="s">
        <v>42</v>
      </c>
      <c r="C42" s="8">
        <v>3.6999999999999998E-2</v>
      </c>
      <c r="D42" s="23"/>
      <c r="E42" s="9">
        <f>$D$39*C42</f>
        <v>0</v>
      </c>
      <c r="G42" t="s">
        <v>51</v>
      </c>
      <c r="H42" t="s">
        <v>50</v>
      </c>
      <c r="Q42" s="37">
        <f>IF(Q38&gt;10,IF(Q39*10&gt;86,86,Q39*10),0)</f>
        <v>0</v>
      </c>
      <c r="S42" s="11"/>
    </row>
    <row r="43" spans="2:21" x14ac:dyDescent="0.3">
      <c r="B43" s="12" t="s">
        <v>43</v>
      </c>
      <c r="C43" s="8">
        <v>3.7000000000000002E-3</v>
      </c>
      <c r="D43" s="23"/>
      <c r="E43" s="9">
        <f>$D$39*C43</f>
        <v>0</v>
      </c>
      <c r="G43" t="s">
        <v>52</v>
      </c>
      <c r="H43" t="s">
        <v>50</v>
      </c>
      <c r="Q43" s="12" t="s">
        <v>79</v>
      </c>
      <c r="S43" s="11"/>
    </row>
    <row r="44" spans="2:21" x14ac:dyDescent="0.3">
      <c r="B44" s="17" t="s">
        <v>44</v>
      </c>
      <c r="C44" s="28">
        <v>0.03</v>
      </c>
      <c r="D44" s="33"/>
      <c r="E44" s="20">
        <f>$D$39*C44</f>
        <v>0</v>
      </c>
      <c r="G44" t="s">
        <v>53</v>
      </c>
      <c r="H44" t="s">
        <v>50</v>
      </c>
      <c r="Q44" s="27">
        <f>Q40-Q42</f>
        <v>0</v>
      </c>
      <c r="R44" s="18"/>
      <c r="S44" s="26"/>
    </row>
    <row r="45" spans="2:21" x14ac:dyDescent="0.3">
      <c r="E45" s="10">
        <f>SUM(E40:E44)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2023-04-27T07:59:37Z</dcterms:created>
  <dcterms:modified xsi:type="dcterms:W3CDTF">2023-05-11T08:25:06Z</dcterms:modified>
</cp:coreProperties>
</file>